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125" yWindow="2400" windowWidth="1800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1" l="1"/>
  <c r="E66" i="1"/>
  <c r="E61" i="1"/>
  <c r="E51" i="1"/>
  <c r="E46" i="1"/>
  <c r="E41" i="1"/>
  <c r="E75" i="1"/>
  <c r="E74" i="1"/>
  <c r="E73" i="1"/>
  <c r="E72" i="1"/>
  <c r="F70" i="1"/>
  <c r="F69" i="1"/>
  <c r="F68" i="1"/>
  <c r="F67" i="1"/>
  <c r="F65" i="1"/>
  <c r="E65" i="1"/>
  <c r="F64" i="1"/>
  <c r="E64" i="1"/>
  <c r="F63" i="1"/>
  <c r="E63" i="1"/>
  <c r="F62" i="1"/>
  <c r="E62" i="1"/>
  <c r="F60" i="1"/>
  <c r="E60" i="1"/>
  <c r="F59" i="1"/>
  <c r="E59" i="1"/>
  <c r="F58" i="1"/>
  <c r="E58" i="1"/>
  <c r="F57" i="1"/>
  <c r="E57" i="1"/>
  <c r="E56" i="1"/>
  <c r="F55" i="1"/>
  <c r="E55" i="1"/>
  <c r="F54" i="1"/>
  <c r="E54" i="1"/>
  <c r="F53" i="1"/>
  <c r="E53" i="1"/>
  <c r="F52" i="1"/>
  <c r="E52" i="1"/>
  <c r="F50" i="1"/>
  <c r="E50" i="1"/>
  <c r="F49" i="1"/>
  <c r="E49" i="1"/>
  <c r="F48" i="1"/>
  <c r="E48" i="1"/>
  <c r="F47" i="1"/>
  <c r="E47" i="1"/>
  <c r="F45" i="1"/>
  <c r="E45" i="1"/>
  <c r="F44" i="1"/>
  <c r="E44" i="1"/>
  <c r="F43" i="1"/>
  <c r="E43" i="1"/>
  <c r="F42" i="1"/>
  <c r="E42" i="1"/>
  <c r="F6" i="1" l="1"/>
  <c r="F5" i="1"/>
  <c r="F4" i="1"/>
  <c r="F3" i="1"/>
  <c r="F11" i="1"/>
  <c r="F10" i="1"/>
  <c r="F9" i="1"/>
  <c r="F8" i="1"/>
  <c r="F16" i="1"/>
  <c r="F15" i="1"/>
  <c r="F14" i="1"/>
  <c r="F13" i="1"/>
  <c r="F21" i="1"/>
  <c r="F20" i="1"/>
  <c r="F19" i="1"/>
  <c r="F18" i="1"/>
  <c r="F26" i="1"/>
  <c r="F25" i="1"/>
  <c r="F24" i="1"/>
  <c r="F23" i="1"/>
  <c r="F29" i="1"/>
  <c r="F30" i="1"/>
  <c r="F31" i="1"/>
  <c r="F28" i="1"/>
  <c r="E36" i="1"/>
  <c r="E35" i="1"/>
  <c r="E34" i="1"/>
  <c r="E33" i="1"/>
  <c r="E2" i="1" l="1"/>
  <c r="E7" i="1"/>
  <c r="E12" i="1"/>
  <c r="E17" i="1"/>
  <c r="E22" i="1"/>
  <c r="E27" i="1"/>
  <c r="E32" i="1"/>
  <c r="E6" i="1"/>
  <c r="E5" i="1"/>
  <c r="E14" i="1"/>
  <c r="E3" i="1"/>
  <c r="E9" i="1"/>
  <c r="E10" i="1"/>
  <c r="E11" i="1"/>
  <c r="E8" i="1"/>
  <c r="E19" i="1"/>
  <c r="E20" i="1"/>
  <c r="E21" i="1"/>
  <c r="E18" i="1"/>
  <c r="E16" i="1"/>
  <c r="E4" i="1"/>
  <c r="E26" i="1" l="1"/>
  <c r="E15" i="1"/>
  <c r="E25" i="1"/>
  <c r="E24" i="1"/>
  <c r="E23" i="1"/>
  <c r="E13" i="1"/>
</calcChain>
</file>

<file path=xl/sharedStrings.xml><?xml version="1.0" encoding="utf-8"?>
<sst xmlns="http://schemas.openxmlformats.org/spreadsheetml/2006/main" count="114" uniqueCount="18">
  <si>
    <t>G1</t>
    <phoneticPr fontId="1" type="noConversion"/>
  </si>
  <si>
    <t>S1</t>
    <phoneticPr fontId="1" type="noConversion"/>
  </si>
  <si>
    <t>S2</t>
  </si>
  <si>
    <t>S3</t>
  </si>
  <si>
    <t>S4</t>
  </si>
  <si>
    <t>Y向位置</t>
    <phoneticPr fontId="1" type="noConversion"/>
  </si>
  <si>
    <t>G4</t>
    <phoneticPr fontId="1" type="noConversion"/>
  </si>
  <si>
    <t>安装
工作中</t>
    <phoneticPr fontId="1" type="noConversion"/>
  </si>
  <si>
    <t>未安装</t>
    <phoneticPr fontId="1" type="noConversion"/>
  </si>
  <si>
    <t>SinglePass
7组喷头搭接打印</t>
    <phoneticPr fontId="1" type="noConversion"/>
  </si>
  <si>
    <t>左侧定位</t>
    <phoneticPr fontId="1" type="noConversion"/>
  </si>
  <si>
    <t>G7</t>
    <phoneticPr fontId="1" type="noConversion"/>
  </si>
  <si>
    <t>G2</t>
    <phoneticPr fontId="1" type="noConversion"/>
  </si>
  <si>
    <t>G3</t>
    <phoneticPr fontId="1" type="noConversion"/>
  </si>
  <si>
    <t>G5</t>
    <phoneticPr fontId="1" type="noConversion"/>
  </si>
  <si>
    <t>G6</t>
    <phoneticPr fontId="1" type="noConversion"/>
  </si>
  <si>
    <t>单组喷头工作喷嘴数：</t>
    <phoneticPr fontId="1" type="noConversion"/>
  </si>
  <si>
    <t>SATA口信号：4个s为1个SATA口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</si>
</sst>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4" fillId="2" borderId="4" xfId="0" applyFont="1" applyFill="1" applyBorder="1" applyAlignment="1">
      <alignment horizontal="left" vertical="center"/>
    </xf>
    <xf numFmtId="0" fontId="0" fillId="0" borderId="1" xfId="0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6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7"/>
  <sheetViews>
    <sheetView tabSelected="1" topLeftCell="A10" zoomScaleNormal="100" workbookViewId="0">
      <selection activeCell="K54" sqref="K54"/>
    </sheetView>
  </sheetViews>
  <sheetFormatPr defaultRowHeight="14.25" x14ac:dyDescent="0.2"/>
  <cols>
    <col min="1" max="1" width="12.75" customWidth="1"/>
    <col min="5" max="5" width="17.75" customWidth="1"/>
  </cols>
  <sheetData>
    <row r="2" spans="1:6" x14ac:dyDescent="0.2">
      <c r="A2" s="19" t="s">
        <v>9</v>
      </c>
      <c r="B2" s="22"/>
      <c r="C2" s="25" t="s">
        <v>11</v>
      </c>
      <c r="D2" s="1" t="s">
        <v>5</v>
      </c>
      <c r="E2" s="1">
        <f>E38*6</f>
        <v>7662</v>
      </c>
      <c r="F2" t="s">
        <v>17</v>
      </c>
    </row>
    <row r="3" spans="1:6" x14ac:dyDescent="0.2">
      <c r="A3" s="20"/>
      <c r="B3" s="23"/>
      <c r="C3" s="26"/>
      <c r="D3" s="1" t="s">
        <v>1</v>
      </c>
      <c r="E3" s="11">
        <f>E33</f>
        <v>51</v>
      </c>
      <c r="F3">
        <f>F8+4</f>
        <v>27</v>
      </c>
    </row>
    <row r="4" spans="1:6" x14ac:dyDescent="0.2">
      <c r="A4" s="20"/>
      <c r="B4" s="23"/>
      <c r="C4" s="26"/>
      <c r="D4" s="2" t="s">
        <v>2</v>
      </c>
      <c r="E4" s="12">
        <f t="shared" ref="E4:E6" si="0">E34</f>
        <v>62.81</v>
      </c>
      <c r="F4">
        <f t="shared" ref="F4:F6" si="1">F9+4</f>
        <v>25</v>
      </c>
    </row>
    <row r="5" spans="1:6" x14ac:dyDescent="0.2">
      <c r="A5" s="20"/>
      <c r="B5" s="23"/>
      <c r="C5" s="26"/>
      <c r="D5" s="2" t="s">
        <v>3</v>
      </c>
      <c r="E5" s="12">
        <f t="shared" si="0"/>
        <v>51.55</v>
      </c>
      <c r="F5">
        <f t="shared" si="1"/>
        <v>26</v>
      </c>
    </row>
    <row r="6" spans="1:6" x14ac:dyDescent="0.2">
      <c r="A6" s="20"/>
      <c r="B6" s="24"/>
      <c r="C6" s="6" t="s">
        <v>10</v>
      </c>
      <c r="D6" s="3" t="s">
        <v>4</v>
      </c>
      <c r="E6" s="13">
        <f t="shared" si="0"/>
        <v>63.36</v>
      </c>
      <c r="F6">
        <f t="shared" si="1"/>
        <v>24</v>
      </c>
    </row>
    <row r="7" spans="1:6" x14ac:dyDescent="0.2">
      <c r="A7" s="20"/>
      <c r="B7" s="25" t="s">
        <v>15</v>
      </c>
      <c r="C7" s="27"/>
      <c r="D7" s="7" t="s">
        <v>5</v>
      </c>
      <c r="E7" s="7">
        <f>E38*5</f>
        <v>6385</v>
      </c>
    </row>
    <row r="8" spans="1:6" x14ac:dyDescent="0.2">
      <c r="A8" s="20"/>
      <c r="B8" s="26"/>
      <c r="C8" s="27"/>
      <c r="D8" s="2" t="s">
        <v>1</v>
      </c>
      <c r="E8" s="8">
        <f>E28</f>
        <v>0</v>
      </c>
      <c r="F8">
        <f>F13+4</f>
        <v>23</v>
      </c>
    </row>
    <row r="9" spans="1:6" x14ac:dyDescent="0.2">
      <c r="A9" s="20"/>
      <c r="B9" s="26"/>
      <c r="C9" s="27"/>
      <c r="D9" s="2" t="s">
        <v>2</v>
      </c>
      <c r="E9" s="9">
        <f t="shared" ref="E9:E11" si="2">E29</f>
        <v>11.81</v>
      </c>
      <c r="F9">
        <f t="shared" ref="F9:F11" si="3">F14+4</f>
        <v>21</v>
      </c>
    </row>
    <row r="10" spans="1:6" x14ac:dyDescent="0.2">
      <c r="A10" s="20"/>
      <c r="B10" s="26"/>
      <c r="C10" s="27"/>
      <c r="D10" s="2" t="s">
        <v>3</v>
      </c>
      <c r="E10" s="9">
        <f t="shared" si="2"/>
        <v>0.55000000000000004</v>
      </c>
      <c r="F10">
        <f t="shared" si="3"/>
        <v>22</v>
      </c>
    </row>
    <row r="11" spans="1:6" x14ac:dyDescent="0.2">
      <c r="A11" s="20"/>
      <c r="B11" s="6" t="s">
        <v>10</v>
      </c>
      <c r="C11" s="27"/>
      <c r="D11" s="3" t="s">
        <v>4</v>
      </c>
      <c r="E11" s="10">
        <f t="shared" si="2"/>
        <v>12.36</v>
      </c>
      <c r="F11">
        <f t="shared" si="3"/>
        <v>20</v>
      </c>
    </row>
    <row r="12" spans="1:6" x14ac:dyDescent="0.2">
      <c r="A12" s="20"/>
      <c r="B12" s="22" t="s">
        <v>8</v>
      </c>
      <c r="C12" s="25" t="s">
        <v>14</v>
      </c>
      <c r="D12" s="7" t="s">
        <v>5</v>
      </c>
      <c r="E12" s="1">
        <f>E38*4</f>
        <v>5108</v>
      </c>
    </row>
    <row r="13" spans="1:6" x14ac:dyDescent="0.2">
      <c r="A13" s="20"/>
      <c r="B13" s="23"/>
      <c r="C13" s="26"/>
      <c r="D13" s="2" t="s">
        <v>1</v>
      </c>
      <c r="E13" s="11">
        <f>E33</f>
        <v>51</v>
      </c>
      <c r="F13">
        <f>F18+4</f>
        <v>19</v>
      </c>
    </row>
    <row r="14" spans="1:6" x14ac:dyDescent="0.2">
      <c r="A14" s="20"/>
      <c r="B14" s="23"/>
      <c r="C14" s="26"/>
      <c r="D14" s="2" t="s">
        <v>2</v>
      </c>
      <c r="E14" s="12">
        <f t="shared" ref="E14:E16" si="4">E34</f>
        <v>62.81</v>
      </c>
      <c r="F14">
        <f t="shared" ref="F14:F16" si="5">F19+4</f>
        <v>17</v>
      </c>
    </row>
    <row r="15" spans="1:6" x14ac:dyDescent="0.2">
      <c r="A15" s="20"/>
      <c r="B15" s="23"/>
      <c r="C15" s="26"/>
      <c r="D15" s="2" t="s">
        <v>3</v>
      </c>
      <c r="E15" s="12">
        <f t="shared" si="4"/>
        <v>51.55</v>
      </c>
      <c r="F15">
        <f t="shared" si="5"/>
        <v>18</v>
      </c>
    </row>
    <row r="16" spans="1:6" x14ac:dyDescent="0.2">
      <c r="A16" s="20"/>
      <c r="B16" s="24"/>
      <c r="C16" s="6" t="s">
        <v>10</v>
      </c>
      <c r="D16" s="3" t="s">
        <v>4</v>
      </c>
      <c r="E16" s="13">
        <f t="shared" si="4"/>
        <v>63.36</v>
      </c>
      <c r="F16">
        <f t="shared" si="5"/>
        <v>16</v>
      </c>
    </row>
    <row r="17" spans="1:6" x14ac:dyDescent="0.2">
      <c r="A17" s="20"/>
      <c r="B17" s="25" t="s">
        <v>6</v>
      </c>
      <c r="C17" s="22" t="s">
        <v>8</v>
      </c>
      <c r="D17" s="7" t="s">
        <v>5</v>
      </c>
      <c r="E17" s="1">
        <f>E38*3</f>
        <v>3831</v>
      </c>
    </row>
    <row r="18" spans="1:6" x14ac:dyDescent="0.2">
      <c r="A18" s="20"/>
      <c r="B18" s="26"/>
      <c r="C18" s="23"/>
      <c r="D18" s="2" t="s">
        <v>1</v>
      </c>
      <c r="E18" s="8">
        <f>E28</f>
        <v>0</v>
      </c>
      <c r="F18">
        <f>F23+4</f>
        <v>15</v>
      </c>
    </row>
    <row r="19" spans="1:6" x14ac:dyDescent="0.2">
      <c r="A19" s="20"/>
      <c r="B19" s="26"/>
      <c r="C19" s="23"/>
      <c r="D19" s="2" t="s">
        <v>2</v>
      </c>
      <c r="E19" s="9">
        <f t="shared" ref="E19:E21" si="6">E29</f>
        <v>11.81</v>
      </c>
      <c r="F19">
        <f t="shared" ref="F19:F21" si="7">F24+4</f>
        <v>13</v>
      </c>
    </row>
    <row r="20" spans="1:6" x14ac:dyDescent="0.2">
      <c r="A20" s="20"/>
      <c r="B20" s="26"/>
      <c r="C20" s="23"/>
      <c r="D20" s="2" t="s">
        <v>3</v>
      </c>
      <c r="E20" s="9">
        <f t="shared" si="6"/>
        <v>0.55000000000000004</v>
      </c>
      <c r="F20">
        <f t="shared" si="7"/>
        <v>14</v>
      </c>
    </row>
    <row r="21" spans="1:6" x14ac:dyDescent="0.2">
      <c r="A21" s="20"/>
      <c r="B21" s="6" t="s">
        <v>10</v>
      </c>
      <c r="C21" s="24"/>
      <c r="D21" s="3" t="s">
        <v>4</v>
      </c>
      <c r="E21" s="10">
        <f t="shared" si="6"/>
        <v>12.36</v>
      </c>
      <c r="F21">
        <f t="shared" si="7"/>
        <v>12</v>
      </c>
    </row>
    <row r="22" spans="1:6" x14ac:dyDescent="0.2">
      <c r="A22" s="20"/>
      <c r="B22" s="27" t="s">
        <v>8</v>
      </c>
      <c r="C22" s="25" t="s">
        <v>13</v>
      </c>
      <c r="D22" s="7" t="s">
        <v>5</v>
      </c>
      <c r="E22" s="1">
        <f>E38*2</f>
        <v>2554</v>
      </c>
    </row>
    <row r="23" spans="1:6" x14ac:dyDescent="0.2">
      <c r="A23" s="20"/>
      <c r="B23" s="27"/>
      <c r="C23" s="26"/>
      <c r="D23" s="14" t="s">
        <v>1</v>
      </c>
      <c r="E23" s="11">
        <f>E33</f>
        <v>51</v>
      </c>
      <c r="F23">
        <f>F28+4</f>
        <v>11</v>
      </c>
    </row>
    <row r="24" spans="1:6" x14ac:dyDescent="0.2">
      <c r="A24" s="20"/>
      <c r="B24" s="27"/>
      <c r="C24" s="26"/>
      <c r="D24" s="14" t="s">
        <v>2</v>
      </c>
      <c r="E24" s="12">
        <f t="shared" ref="E24:E26" si="8">E34</f>
        <v>62.81</v>
      </c>
      <c r="F24">
        <f t="shared" ref="F24:F26" si="9">F29+4</f>
        <v>9</v>
      </c>
    </row>
    <row r="25" spans="1:6" x14ac:dyDescent="0.2">
      <c r="A25" s="20"/>
      <c r="B25" s="27"/>
      <c r="C25" s="26"/>
      <c r="D25" s="14" t="s">
        <v>3</v>
      </c>
      <c r="E25" s="12">
        <f t="shared" si="8"/>
        <v>51.55</v>
      </c>
      <c r="F25">
        <f t="shared" si="9"/>
        <v>10</v>
      </c>
    </row>
    <row r="26" spans="1:6" x14ac:dyDescent="0.2">
      <c r="A26" s="20"/>
      <c r="B26" s="27"/>
      <c r="C26" s="6" t="s">
        <v>10</v>
      </c>
      <c r="D26" s="15" t="s">
        <v>4</v>
      </c>
      <c r="E26" s="13">
        <f t="shared" si="8"/>
        <v>63.36</v>
      </c>
      <c r="F26">
        <f t="shared" si="9"/>
        <v>8</v>
      </c>
    </row>
    <row r="27" spans="1:6" x14ac:dyDescent="0.2">
      <c r="A27" s="20"/>
      <c r="B27" s="25" t="s">
        <v>12</v>
      </c>
      <c r="C27" s="28" t="s">
        <v>7</v>
      </c>
      <c r="D27" s="7" t="s">
        <v>5</v>
      </c>
      <c r="E27" s="2">
        <f>E38*1</f>
        <v>1277</v>
      </c>
    </row>
    <row r="28" spans="1:6" x14ac:dyDescent="0.2">
      <c r="A28" s="20"/>
      <c r="B28" s="26"/>
      <c r="C28" s="27"/>
      <c r="D28" s="2" t="s">
        <v>1</v>
      </c>
      <c r="E28" s="8">
        <v>0</v>
      </c>
      <c r="F28">
        <f>F33+4</f>
        <v>7</v>
      </c>
    </row>
    <row r="29" spans="1:6" x14ac:dyDescent="0.2">
      <c r="A29" s="20"/>
      <c r="B29" s="26"/>
      <c r="C29" s="27"/>
      <c r="D29" s="2" t="s">
        <v>2</v>
      </c>
      <c r="E29" s="9">
        <v>11.81</v>
      </c>
      <c r="F29">
        <f t="shared" ref="F29:F31" si="10">F34+4</f>
        <v>5</v>
      </c>
    </row>
    <row r="30" spans="1:6" x14ac:dyDescent="0.2">
      <c r="A30" s="20"/>
      <c r="B30" s="26"/>
      <c r="C30" s="27"/>
      <c r="D30" s="2" t="s">
        <v>3</v>
      </c>
      <c r="E30" s="9">
        <v>0.55000000000000004</v>
      </c>
      <c r="F30">
        <f t="shared" si="10"/>
        <v>6</v>
      </c>
    </row>
    <row r="31" spans="1:6" x14ac:dyDescent="0.2">
      <c r="A31" s="20"/>
      <c r="B31" s="6" t="s">
        <v>10</v>
      </c>
      <c r="C31" s="22"/>
      <c r="D31" s="3" t="s">
        <v>4</v>
      </c>
      <c r="E31" s="10">
        <v>12.36</v>
      </c>
      <c r="F31">
        <f t="shared" si="10"/>
        <v>4</v>
      </c>
    </row>
    <row r="32" spans="1:6" x14ac:dyDescent="0.2">
      <c r="A32" s="20"/>
      <c r="B32" s="29" t="s">
        <v>7</v>
      </c>
      <c r="C32" s="25" t="s">
        <v>0</v>
      </c>
      <c r="D32" s="7" t="s">
        <v>5</v>
      </c>
      <c r="E32" s="1">
        <f>E38*0</f>
        <v>0</v>
      </c>
    </row>
    <row r="33" spans="1:6" x14ac:dyDescent="0.2">
      <c r="A33" s="20"/>
      <c r="B33" s="30"/>
      <c r="C33" s="26"/>
      <c r="D33" s="4" t="s">
        <v>1</v>
      </c>
      <c r="E33" s="11">
        <f>E28+51</f>
        <v>51</v>
      </c>
      <c r="F33">
        <v>3</v>
      </c>
    </row>
    <row r="34" spans="1:6" x14ac:dyDescent="0.2">
      <c r="A34" s="20"/>
      <c r="B34" s="30"/>
      <c r="C34" s="26"/>
      <c r="D34" s="4" t="s">
        <v>2</v>
      </c>
      <c r="E34" s="12">
        <f>E29+51</f>
        <v>62.81</v>
      </c>
      <c r="F34">
        <v>1</v>
      </c>
    </row>
    <row r="35" spans="1:6" x14ac:dyDescent="0.2">
      <c r="A35" s="20"/>
      <c r="B35" s="30"/>
      <c r="C35" s="26"/>
      <c r="D35" s="4" t="s">
        <v>3</v>
      </c>
      <c r="E35" s="12">
        <f>E30+51</f>
        <v>51.55</v>
      </c>
      <c r="F35">
        <v>2</v>
      </c>
    </row>
    <row r="36" spans="1:6" x14ac:dyDescent="0.2">
      <c r="A36" s="21"/>
      <c r="B36" s="30"/>
      <c r="C36" s="6" t="s">
        <v>10</v>
      </c>
      <c r="D36" s="5" t="s">
        <v>4</v>
      </c>
      <c r="E36" s="13">
        <f>E31+51</f>
        <v>63.36</v>
      </c>
      <c r="F36">
        <v>0</v>
      </c>
    </row>
    <row r="38" spans="1:6" x14ac:dyDescent="0.2">
      <c r="A38" s="17" t="s">
        <v>16</v>
      </c>
      <c r="B38" s="18"/>
      <c r="C38" s="18"/>
      <c r="D38" s="18"/>
      <c r="E38" s="16">
        <v>1277</v>
      </c>
    </row>
    <row r="41" spans="1:6" x14ac:dyDescent="0.2">
      <c r="A41" s="19" t="s">
        <v>9</v>
      </c>
      <c r="B41" s="22"/>
      <c r="C41" s="25" t="s">
        <v>11</v>
      </c>
      <c r="D41" s="1" t="s">
        <v>5</v>
      </c>
      <c r="E41" s="1">
        <f>E77*0</f>
        <v>0</v>
      </c>
      <c r="F41" t="s">
        <v>17</v>
      </c>
    </row>
    <row r="42" spans="1:6" x14ac:dyDescent="0.2">
      <c r="A42" s="20"/>
      <c r="B42" s="23"/>
      <c r="C42" s="26"/>
      <c r="D42" s="1" t="s">
        <v>1</v>
      </c>
      <c r="E42" s="11">
        <f>E72</f>
        <v>51</v>
      </c>
      <c r="F42">
        <f>F47+4</f>
        <v>27</v>
      </c>
    </row>
    <row r="43" spans="1:6" x14ac:dyDescent="0.2">
      <c r="A43" s="20"/>
      <c r="B43" s="23"/>
      <c r="C43" s="26"/>
      <c r="D43" s="2" t="s">
        <v>2</v>
      </c>
      <c r="E43" s="12">
        <f t="shared" ref="E43:E45" si="11">E73</f>
        <v>62.81</v>
      </c>
      <c r="F43">
        <f t="shared" ref="F43:F45" si="12">F48+4</f>
        <v>25</v>
      </c>
    </row>
    <row r="44" spans="1:6" x14ac:dyDescent="0.2">
      <c r="A44" s="20"/>
      <c r="B44" s="23"/>
      <c r="C44" s="26"/>
      <c r="D44" s="2" t="s">
        <v>3</v>
      </c>
      <c r="E44" s="12">
        <f t="shared" si="11"/>
        <v>51.55</v>
      </c>
      <c r="F44">
        <f t="shared" si="12"/>
        <v>26</v>
      </c>
    </row>
    <row r="45" spans="1:6" x14ac:dyDescent="0.2">
      <c r="A45" s="20"/>
      <c r="B45" s="24"/>
      <c r="C45" s="6" t="s">
        <v>10</v>
      </c>
      <c r="D45" s="3" t="s">
        <v>4</v>
      </c>
      <c r="E45" s="13">
        <f t="shared" si="11"/>
        <v>63.36</v>
      </c>
      <c r="F45">
        <f t="shared" si="12"/>
        <v>24</v>
      </c>
    </row>
    <row r="46" spans="1:6" x14ac:dyDescent="0.2">
      <c r="A46" s="20"/>
      <c r="B46" s="25" t="s">
        <v>15</v>
      </c>
      <c r="C46" s="27"/>
      <c r="D46" s="7" t="s">
        <v>5</v>
      </c>
      <c r="E46" s="7">
        <f>E77*1</f>
        <v>1277</v>
      </c>
    </row>
    <row r="47" spans="1:6" x14ac:dyDescent="0.2">
      <c r="A47" s="20"/>
      <c r="B47" s="26"/>
      <c r="C47" s="27"/>
      <c r="D47" s="2" t="s">
        <v>1</v>
      </c>
      <c r="E47" s="8">
        <f>E67</f>
        <v>0</v>
      </c>
      <c r="F47">
        <f>F52+4</f>
        <v>23</v>
      </c>
    </row>
    <row r="48" spans="1:6" x14ac:dyDescent="0.2">
      <c r="A48" s="20"/>
      <c r="B48" s="26"/>
      <c r="C48" s="27"/>
      <c r="D48" s="2" t="s">
        <v>2</v>
      </c>
      <c r="E48" s="9">
        <f t="shared" ref="E48:E50" si="13">E68</f>
        <v>11.81</v>
      </c>
      <c r="F48">
        <f t="shared" ref="F48:F50" si="14">F53+4</f>
        <v>21</v>
      </c>
    </row>
    <row r="49" spans="1:6" x14ac:dyDescent="0.2">
      <c r="A49" s="20"/>
      <c r="B49" s="26"/>
      <c r="C49" s="27"/>
      <c r="D49" s="2" t="s">
        <v>3</v>
      </c>
      <c r="E49" s="9">
        <f t="shared" si="13"/>
        <v>0.55000000000000004</v>
      </c>
      <c r="F49">
        <f t="shared" si="14"/>
        <v>22</v>
      </c>
    </row>
    <row r="50" spans="1:6" x14ac:dyDescent="0.2">
      <c r="A50" s="20"/>
      <c r="B50" s="6" t="s">
        <v>10</v>
      </c>
      <c r="C50" s="27"/>
      <c r="D50" s="3" t="s">
        <v>4</v>
      </c>
      <c r="E50" s="10">
        <f t="shared" si="13"/>
        <v>12.36</v>
      </c>
      <c r="F50">
        <f t="shared" si="14"/>
        <v>20</v>
      </c>
    </row>
    <row r="51" spans="1:6" x14ac:dyDescent="0.2">
      <c r="A51" s="20"/>
      <c r="B51" s="22" t="s">
        <v>8</v>
      </c>
      <c r="C51" s="25" t="s">
        <v>14</v>
      </c>
      <c r="D51" s="7" t="s">
        <v>5</v>
      </c>
      <c r="E51" s="1">
        <f>E77*2</f>
        <v>2554</v>
      </c>
    </row>
    <row r="52" spans="1:6" x14ac:dyDescent="0.2">
      <c r="A52" s="20"/>
      <c r="B52" s="23"/>
      <c r="C52" s="26"/>
      <c r="D52" s="2" t="s">
        <v>1</v>
      </c>
      <c r="E52" s="11">
        <f>E72</f>
        <v>51</v>
      </c>
      <c r="F52">
        <f>F57+4</f>
        <v>19</v>
      </c>
    </row>
    <row r="53" spans="1:6" x14ac:dyDescent="0.2">
      <c r="A53" s="20"/>
      <c r="B53" s="23"/>
      <c r="C53" s="26"/>
      <c r="D53" s="2" t="s">
        <v>2</v>
      </c>
      <c r="E53" s="12">
        <f t="shared" ref="E53:E55" si="15">E73</f>
        <v>62.81</v>
      </c>
      <c r="F53">
        <f t="shared" ref="F53:F55" si="16">F58+4</f>
        <v>17</v>
      </c>
    </row>
    <row r="54" spans="1:6" x14ac:dyDescent="0.2">
      <c r="A54" s="20"/>
      <c r="B54" s="23"/>
      <c r="C54" s="26"/>
      <c r="D54" s="2" t="s">
        <v>3</v>
      </c>
      <c r="E54" s="12">
        <f t="shared" si="15"/>
        <v>51.55</v>
      </c>
      <c r="F54">
        <f t="shared" si="16"/>
        <v>18</v>
      </c>
    </row>
    <row r="55" spans="1:6" x14ac:dyDescent="0.2">
      <c r="A55" s="20"/>
      <c r="B55" s="24"/>
      <c r="C55" s="6" t="s">
        <v>10</v>
      </c>
      <c r="D55" s="3" t="s">
        <v>4</v>
      </c>
      <c r="E55" s="13">
        <f t="shared" si="15"/>
        <v>63.36</v>
      </c>
      <c r="F55">
        <f t="shared" si="16"/>
        <v>16</v>
      </c>
    </row>
    <row r="56" spans="1:6" x14ac:dyDescent="0.2">
      <c r="A56" s="20"/>
      <c r="B56" s="25" t="s">
        <v>6</v>
      </c>
      <c r="C56" s="22" t="s">
        <v>8</v>
      </c>
      <c r="D56" s="7" t="s">
        <v>5</v>
      </c>
      <c r="E56" s="1">
        <f>E77*3</f>
        <v>3831</v>
      </c>
    </row>
    <row r="57" spans="1:6" x14ac:dyDescent="0.2">
      <c r="A57" s="20"/>
      <c r="B57" s="26"/>
      <c r="C57" s="23"/>
      <c r="D57" s="2" t="s">
        <v>1</v>
      </c>
      <c r="E57" s="8">
        <f>E67</f>
        <v>0</v>
      </c>
      <c r="F57">
        <f>F62+4</f>
        <v>15</v>
      </c>
    </row>
    <row r="58" spans="1:6" x14ac:dyDescent="0.2">
      <c r="A58" s="20"/>
      <c r="B58" s="26"/>
      <c r="C58" s="23"/>
      <c r="D58" s="2" t="s">
        <v>2</v>
      </c>
      <c r="E58" s="9">
        <f t="shared" ref="E58:E60" si="17">E68</f>
        <v>11.81</v>
      </c>
      <c r="F58">
        <f t="shared" ref="F58:F60" si="18">F63+4</f>
        <v>13</v>
      </c>
    </row>
    <row r="59" spans="1:6" x14ac:dyDescent="0.2">
      <c r="A59" s="20"/>
      <c r="B59" s="26"/>
      <c r="C59" s="23"/>
      <c r="D59" s="2" t="s">
        <v>3</v>
      </c>
      <c r="E59" s="9">
        <f t="shared" si="17"/>
        <v>0.55000000000000004</v>
      </c>
      <c r="F59">
        <f t="shared" si="18"/>
        <v>14</v>
      </c>
    </row>
    <row r="60" spans="1:6" x14ac:dyDescent="0.2">
      <c r="A60" s="20"/>
      <c r="B60" s="6" t="s">
        <v>10</v>
      </c>
      <c r="C60" s="24"/>
      <c r="D60" s="3" t="s">
        <v>4</v>
      </c>
      <c r="E60" s="10">
        <f t="shared" si="17"/>
        <v>12.36</v>
      </c>
      <c r="F60">
        <f t="shared" si="18"/>
        <v>12</v>
      </c>
    </row>
    <row r="61" spans="1:6" x14ac:dyDescent="0.2">
      <c r="A61" s="20"/>
      <c r="B61" s="27" t="s">
        <v>8</v>
      </c>
      <c r="C61" s="25" t="s">
        <v>13</v>
      </c>
      <c r="D61" s="7" t="s">
        <v>5</v>
      </c>
      <c r="E61" s="1">
        <f>E77*4</f>
        <v>5108</v>
      </c>
    </row>
    <row r="62" spans="1:6" x14ac:dyDescent="0.2">
      <c r="A62" s="20"/>
      <c r="B62" s="27"/>
      <c r="C62" s="26"/>
      <c r="D62" s="14" t="s">
        <v>1</v>
      </c>
      <c r="E62" s="11">
        <f>E72</f>
        <v>51</v>
      </c>
      <c r="F62">
        <f>F67+4</f>
        <v>11</v>
      </c>
    </row>
    <row r="63" spans="1:6" x14ac:dyDescent="0.2">
      <c r="A63" s="20"/>
      <c r="B63" s="27"/>
      <c r="C63" s="26"/>
      <c r="D63" s="14" t="s">
        <v>2</v>
      </c>
      <c r="E63" s="12">
        <f t="shared" ref="E63:E65" si="19">E73</f>
        <v>62.81</v>
      </c>
      <c r="F63">
        <f t="shared" ref="F63:F65" si="20">F68+4</f>
        <v>9</v>
      </c>
    </row>
    <row r="64" spans="1:6" x14ac:dyDescent="0.2">
      <c r="A64" s="20"/>
      <c r="B64" s="27"/>
      <c r="C64" s="26"/>
      <c r="D64" s="14" t="s">
        <v>3</v>
      </c>
      <c r="E64" s="12">
        <f t="shared" si="19"/>
        <v>51.55</v>
      </c>
      <c r="F64">
        <f t="shared" si="20"/>
        <v>10</v>
      </c>
    </row>
    <row r="65" spans="1:6" x14ac:dyDescent="0.2">
      <c r="A65" s="20"/>
      <c r="B65" s="27"/>
      <c r="C65" s="6" t="s">
        <v>10</v>
      </c>
      <c r="D65" s="15" t="s">
        <v>4</v>
      </c>
      <c r="E65" s="13">
        <f t="shared" si="19"/>
        <v>63.36</v>
      </c>
      <c r="F65">
        <f t="shared" si="20"/>
        <v>8</v>
      </c>
    </row>
    <row r="66" spans="1:6" x14ac:dyDescent="0.2">
      <c r="A66" s="20"/>
      <c r="B66" s="25" t="s">
        <v>12</v>
      </c>
      <c r="C66" s="28" t="s">
        <v>7</v>
      </c>
      <c r="D66" s="7" t="s">
        <v>5</v>
      </c>
      <c r="E66" s="2">
        <f>E77*5</f>
        <v>6385</v>
      </c>
    </row>
    <row r="67" spans="1:6" x14ac:dyDescent="0.2">
      <c r="A67" s="20"/>
      <c r="B67" s="26"/>
      <c r="C67" s="27"/>
      <c r="D67" s="2" t="s">
        <v>1</v>
      </c>
      <c r="E67" s="8">
        <v>0</v>
      </c>
      <c r="F67">
        <f>F72+4</f>
        <v>7</v>
      </c>
    </row>
    <row r="68" spans="1:6" x14ac:dyDescent="0.2">
      <c r="A68" s="20"/>
      <c r="B68" s="26"/>
      <c r="C68" s="27"/>
      <c r="D68" s="2" t="s">
        <v>2</v>
      </c>
      <c r="E68" s="9">
        <v>11.81</v>
      </c>
      <c r="F68">
        <f t="shared" ref="F68:F70" si="21">F73+4</f>
        <v>5</v>
      </c>
    </row>
    <row r="69" spans="1:6" x14ac:dyDescent="0.2">
      <c r="A69" s="20"/>
      <c r="B69" s="26"/>
      <c r="C69" s="27"/>
      <c r="D69" s="2" t="s">
        <v>3</v>
      </c>
      <c r="E69" s="9">
        <v>0.55000000000000004</v>
      </c>
      <c r="F69">
        <f t="shared" si="21"/>
        <v>6</v>
      </c>
    </row>
    <row r="70" spans="1:6" x14ac:dyDescent="0.2">
      <c r="A70" s="20"/>
      <c r="B70" s="6" t="s">
        <v>10</v>
      </c>
      <c r="C70" s="22"/>
      <c r="D70" s="3" t="s">
        <v>4</v>
      </c>
      <c r="E70" s="10">
        <v>12.36</v>
      </c>
      <c r="F70">
        <f t="shared" si="21"/>
        <v>4</v>
      </c>
    </row>
    <row r="71" spans="1:6" x14ac:dyDescent="0.2">
      <c r="A71" s="20"/>
      <c r="B71" s="29" t="s">
        <v>7</v>
      </c>
      <c r="C71" s="25" t="s">
        <v>0</v>
      </c>
      <c r="D71" s="7" t="s">
        <v>5</v>
      </c>
      <c r="E71" s="1">
        <f>E77*6</f>
        <v>7662</v>
      </c>
    </row>
    <row r="72" spans="1:6" x14ac:dyDescent="0.2">
      <c r="A72" s="20"/>
      <c r="B72" s="30"/>
      <c r="C72" s="26"/>
      <c r="D72" s="4" t="s">
        <v>1</v>
      </c>
      <c r="E72" s="11">
        <f>E67+51</f>
        <v>51</v>
      </c>
      <c r="F72">
        <v>3</v>
      </c>
    </row>
    <row r="73" spans="1:6" x14ac:dyDescent="0.2">
      <c r="A73" s="20"/>
      <c r="B73" s="30"/>
      <c r="C73" s="26"/>
      <c r="D73" s="4" t="s">
        <v>2</v>
      </c>
      <c r="E73" s="12">
        <f>E68+51</f>
        <v>62.81</v>
      </c>
      <c r="F73">
        <v>1</v>
      </c>
    </row>
    <row r="74" spans="1:6" x14ac:dyDescent="0.2">
      <c r="A74" s="20"/>
      <c r="B74" s="30"/>
      <c r="C74" s="26"/>
      <c r="D74" s="4" t="s">
        <v>3</v>
      </c>
      <c r="E74" s="12">
        <f>E69+51</f>
        <v>51.55</v>
      </c>
      <c r="F74">
        <v>2</v>
      </c>
    </row>
    <row r="75" spans="1:6" x14ac:dyDescent="0.2">
      <c r="A75" s="21"/>
      <c r="B75" s="30"/>
      <c r="C75" s="6" t="s">
        <v>10</v>
      </c>
      <c r="D75" s="5" t="s">
        <v>4</v>
      </c>
      <c r="E75" s="13">
        <f>E70+51</f>
        <v>63.36</v>
      </c>
      <c r="F75">
        <v>0</v>
      </c>
    </row>
    <row r="77" spans="1:6" x14ac:dyDescent="0.2">
      <c r="A77" s="17" t="s">
        <v>16</v>
      </c>
      <c r="B77" s="18"/>
      <c r="C77" s="18"/>
      <c r="D77" s="18"/>
      <c r="E77" s="16">
        <v>1277</v>
      </c>
    </row>
  </sheetData>
  <mergeCells count="32">
    <mergeCell ref="A38:D38"/>
    <mergeCell ref="B2:B6"/>
    <mergeCell ref="A2:A36"/>
    <mergeCell ref="C32:C35"/>
    <mergeCell ref="B27:B30"/>
    <mergeCell ref="C22:C25"/>
    <mergeCell ref="B17:B20"/>
    <mergeCell ref="C12:C15"/>
    <mergeCell ref="B7:B10"/>
    <mergeCell ref="C2:C5"/>
    <mergeCell ref="B32:B36"/>
    <mergeCell ref="B22:B26"/>
    <mergeCell ref="B12:B16"/>
    <mergeCell ref="C7:C11"/>
    <mergeCell ref="C17:C21"/>
    <mergeCell ref="C27:C31"/>
    <mergeCell ref="A77:D77"/>
    <mergeCell ref="A41:A75"/>
    <mergeCell ref="B41:B45"/>
    <mergeCell ref="C41:C44"/>
    <mergeCell ref="B46:B49"/>
    <mergeCell ref="C46:C50"/>
    <mergeCell ref="B51:B55"/>
    <mergeCell ref="C51:C54"/>
    <mergeCell ref="B56:B59"/>
    <mergeCell ref="C56:C60"/>
    <mergeCell ref="B61:B65"/>
    <mergeCell ref="C61:C64"/>
    <mergeCell ref="B66:B69"/>
    <mergeCell ref="C66:C70"/>
    <mergeCell ref="B71:B75"/>
    <mergeCell ref="C71:C7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2021-03-29T06:16:34Z</dcterms:modified>
</cp:coreProperties>
</file>